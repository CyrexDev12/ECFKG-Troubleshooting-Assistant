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0392783f3e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e249de34714010"/>
    <x:sheet xmlns:r="http://schemas.openxmlformats.org/officeDocument/2006/relationships" name="Cases" sheetId="2" r:id="R243f6fbf70654baa"/>
    <x:sheet xmlns:r="http://schemas.openxmlformats.org/officeDocument/2006/relationships" name="Results" sheetId="3" r:id="Rb36b3eb3847541d2"/>
    <x:sheet xmlns:r="http://schemas.openxmlformats.org/officeDocument/2006/relationships" name="Time estimates" sheetId="4" r:id="R1be9b9aed19948fc"/>
    <x:sheet xmlns:r="http://schemas.openxmlformats.org/officeDocument/2006/relationships" name="Run configuration" sheetId="5" r:id="R9b30695551c748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"/>
    <x:numFmt numFmtId="202" formatCode="0.000"/>
    <x:numFmt numFmtId="203" formatCode="0.0"/>
    <x:numFmt numFmtId="204" formatCode="yyyy-mm-dd hh:mm:ss &quot;UTC&quot;"/>
  </x:numFmts>
  <x:fonts count="5">
    <x:font>
      <x:sz val="11"/>
      <x:name val="Carlito"/>
    </x:font>
    <x:font>
      <x:sz val="10"/>
      <x:color rgb="FF292C30"/>
      <x:name val="Arial"/>
    </x:font>
    <x:font>
      <x:b/>
      <x:sz val="15"/>
      <x:color rgb="FF292C30"/>
      <x:name val="Arial"/>
    </x:font>
    <x:font>
      <x:i/>
      <x:sz val="10"/>
      <x:color rgb="FF292C3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92C30"/>
      </x:patternFill>
    </x:fill>
    <x:fill>
      <x:patternFill patternType="solid">
        <x:fgColor rgb="FFF4F4F3"/>
      </x:patternFill>
    </x:fill>
    <x:fill>
      <x:patternFill patternType="solid">
        <x:fgColor rgb="FFFFF3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75C1C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3" fontId="1" fillId="4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4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8A3D13"/>
      </x:font>
      <x:fill>
        <x:patternFill patternType="solid">
          <x:bgColor rgb="FFFFF1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b9af6e8694b72" /><Relationship Type="http://schemas.openxmlformats.org/officeDocument/2006/relationships/theme" Target="/xl/theme/theme1.xml" Id="R84f80042b05b4744" /><Relationship Type="http://schemas.openxmlformats.org/officeDocument/2006/relationships/sharedStrings" Target="/xl/sharedStrings.xml" Id="Re89308982b0c485b" /><Relationship Type="http://schemas.openxmlformats.org/officeDocument/2006/relationships/worksheet" Target="/xl/worksheets/sheet1.xml" Id="Rdae249de34714010" /><Relationship Type="http://schemas.openxmlformats.org/officeDocument/2006/relationships/worksheet" Target="/xl/worksheets/sheet2.xml" Id="R243f6fbf70654baa" /><Relationship Type="http://schemas.openxmlformats.org/officeDocument/2006/relationships/worksheet" Target="/xl/worksheets/sheet3.xml" Id="Rb36b3eb3847541d2" /><Relationship Type="http://schemas.openxmlformats.org/officeDocument/2006/relationships/worksheet" Target="/xl/worksheets/sheet4.xml" Id="R1be9b9aed19948fc" /><Relationship Type="http://schemas.openxmlformats.org/officeDocument/2006/relationships/worksheet" Target="/xl/worksheets/sheet5.xml" Id="R9b30695551c748e4" /></Relationships>
</file>

<file path=xl/tables/table1.xml><?xml version="1.0" encoding="utf-8"?>
<x:table xmlns:x="http://schemas.openxmlformats.org/spreadsheetml/2006/main" id="1" name="EvaluationCases" displayName="EvaluationCases" ref="A6:I28" headerRowCount="1" totalsRowCount="0" totalsRowShown="0">
  <x:tableColumns count="9">
    <x:tableColumn id="1" name="Case ID"/>
    <x:tableColumn id="2" name="Category"/>
    <x:tableColumn id="3" name="Initial symptom / test input"/>
    <x:tableColumn id="4" name="Available observations"/>
    <x:tableColumn id="5" name="Expected root / abstention"/>
    <x:tableColumn id="6" name="Useful initial check"/>
    <x:tableColumn id="7" name="Evidence basis"/>
    <x:tableColumn id="8" name="Source IDs"/>
    <x:tableColumn id="9" name="Popul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elineResults" displayName="BaselineResults" ref="A6:L26" headerRowCount="1" totalsRowCount="0" totalsRowShown="0">
  <x:tableColumns count="12">
    <x:tableColumn id="1" name="Case ID"/>
    <x:tableColumn id="2" name="Status"/>
    <x:tableColumn id="3" name="Expected root"/>
    <x:tableColumn id="4" name="Returned candidates"/>
    <x:tableColumn id="5" name="Top-1 correct"/>
    <x:tableColumn id="6" name="Top-3 included"/>
    <x:tableColumn id="7" name="List size"/>
    <x:tableColumn id="8" name="Expected abstain"/>
    <x:tableColumn id="9" name="Correct abstain"/>
    <x:tableColumn id="10" name="Case latency (ms)"/>
    <x:tableColumn id="11" name="Valid IDs"/>
    <x:tableColumn id="12" name="IDs return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ngineerTimes" displayName="EngineerTimes" ref="A6:J16" headerRowCount="1" totalsRowCount="0" totalsRowShown="0">
  <x:tableColumns count="10">
    <x:tableColumn id="1" name="Scenario ID"/>
    <x:tableColumn id="2" name="Manual estimate (min)"/>
    <x:tableColumn id="3" name="Assisted estimate (min)"/>
    <x:tableColumn id="4" name="Estimated reduction"/>
    <x:tableColumn id="5" name="Manual measured (min)"/>
    <x:tableColumn id="6" name="Assisted measured (min)"/>
    <x:tableColumn id="7" name="Measured reduction"/>
    <x:tableColumn id="8" name="Participant code"/>
    <x:tableColumn id="9" name="Task definition"/>
    <x:tableColumn id="10" name="Method / review 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unSettings" displayName="RunSettings" ref="A6:B27" headerRowCount="1" totalsRowCount="0" totalsRowShown="0">
  <x:tableColumns count="2">
    <x:tableColumn id="1" name="Setting"/>
    <x:tableColumn id="2" name="Recorded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89a8f451fe476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22bac828774a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8fab6e862f4b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8f85a8a03d4cd2" /></Relationships>
</file>

<file path=xl/worksheets/sheet1.xml><?xml version="1.0" encoding="utf-8"?>
<x:worksheet xmlns:x="http://schemas.openxmlformats.org/spreadsheetml/2006/main">
  <x:sheetPr>
    <x:tabColor rgb="FF292C30"/>
  </x:sheetPr>
  <x:sheetViews>
    <x:sheetView showGridLines="0" workbookViewId="0"/>
  </x:sheetViews>
  <x:sheetFormatPr defaultRowHeight="15"/>
  <x:cols>
    <x:col min="1" max="1" width="45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Synthetic diagnostic evaluation</x:v>
      </x:c>
      <x:c r="B2" s="2"/>
      <x:c r="C2" s="2"/>
      <x:c r="D2" s="2"/>
    </x:row>
    <x:row r="3" ht="24" customHeight="1">
      <x:c r="A3" s="4"/>
      <x:c r="B3" s="4"/>
      <x:c r="C3" s="4"/>
      <x:c r="D3" s="4"/>
    </x:row>
    <x:row r="4" ht="24" customHeight="1">
      <x:c r="A4" s="5" t="str">
        <x:v>Developer-created cases; software feasibility only. No live LLM run.</x:v>
      </x:c>
      <x:c r="B4" s="2"/>
      <x:c r="C4" s="2"/>
      <x:c r="D4" s="2"/>
    </x:row>
    <x:row r="5" ht="24" customHeight="1">
      <x:c r="A5" s="2"/>
      <x:c r="B5" s="2"/>
      <x:c r="C5" s="2"/>
      <x:c r="D5" s="2"/>
    </x:row>
    <x:row r="6" ht="32" customHeight="1">
      <x:c r="A6" s="9" t="str">
        <x:v>Measure</x:v>
      </x:c>
      <x:c r="B6" s="9" t="str">
        <x:v>Graph + reference</x:v>
      </x:c>
      <x:c r="C6" s="9" t="str">
        <x:v>Theory only</x:v>
      </x:c>
      <x:c r="D6" s="9" t="str">
        <x:v>Local LLM</x:v>
      </x:c>
    </x:row>
    <x:row r="7" ht="24" customHeight="1">
      <x:c r="A7" s="10" t="str">
        <x:v>Run status</x:v>
      </x:c>
      <x:c r="B7" s="10" t="str">
        <x:v>completed</x:v>
      </x:c>
      <x:c r="C7" s="10" t="str">
        <x:v>completed</x:v>
      </x:c>
      <x:c r="D7" s="15" t="str">
        <x:v>not_run</x:v>
      </x:c>
    </x:row>
    <x:row r="8" ht="24" customHeight="1">
      <x:c r="A8" s="2" t="str">
        <x:v>Applicable cases</x:v>
      </x:c>
      <x:c r="B8" s="2" t="n">
        <x:v>14</x:v>
      </x:c>
      <x:c r="C8" s="2" t="n">
        <x:v>14</x:v>
      </x:c>
      <x:c r="D8" s="16" t="str">
        <x:v>Not run</x:v>
      </x:c>
    </x:row>
    <x:row r="9" ht="24" customHeight="1">
      <x:c r="A9" s="10" t="str">
        <x:v>Scope candidate inclusion (target 80%)</x:v>
      </x:c>
      <x:c r="B9" s="12" t="n">
        <x:v>0.8571428571428571</x:v>
      </x:c>
      <x:c r="C9" s="12" t="n">
        <x:v>0.8571428571428571</x:v>
      </x:c>
      <x:c r="D9" s="15" t="str">
        <x:v>Not run</x:v>
      </x:c>
    </x:row>
    <x:row r="10" ht="24" customHeight="1">
      <x:c r="A10" s="2" t="str">
        <x:v>Top-1 accuracy</x:v>
      </x:c>
      <x:c r="B10" s="11" t="n">
        <x:v>0.8571428571428571</x:v>
      </x:c>
      <x:c r="C10" s="11" t="n">
        <x:v>0.8571428571428571</x:v>
      </x:c>
      <x:c r="D10" s="16" t="str">
        <x:v>Not run</x:v>
      </x:c>
    </x:row>
    <x:row r="11" ht="24" customHeight="1">
      <x:c r="A11" s="10" t="str">
        <x:v>Top-3 coverage</x:v>
      </x:c>
      <x:c r="B11" s="12" t="n">
        <x:v>0.8571428571428571</x:v>
      </x:c>
      <x:c r="C11" s="12" t="n">
        <x:v>0.8571428571428571</x:v>
      </x:c>
      <x:c r="D11" s="15" t="str">
        <x:v>Not run</x:v>
      </x:c>
    </x:row>
    <x:row r="12" ht="24" customHeight="1">
      <x:c r="A12" s="2" t="str">
        <x:v>Mean list size (all cases)</x:v>
      </x:c>
      <x:c r="B12" s="13" t="n">
        <x:v>1.3</x:v>
      </x:c>
      <x:c r="C12" s="13" t="n">
        <x:v>1.3</x:v>
      </x:c>
      <x:c r="D12" s="16" t="str">
        <x:v>Not run</x:v>
      </x:c>
    </x:row>
    <x:row r="13" ht="24" customHeight="1">
      <x:c r="A13" s="10" t="str">
        <x:v>Mean list size (applicable)</x:v>
      </x:c>
      <x:c r="B13" s="14" t="n">
        <x:v>1.8571428571428572</x:v>
      </x:c>
      <x:c r="C13" s="14" t="n">
        <x:v>1.8571428571428572</x:v>
      </x:c>
      <x:c r="D13" s="15" t="str">
        <x:v>Not run</x:v>
      </x:c>
    </x:row>
    <x:row r="14" ht="24" customHeight="1">
      <x:c r="A14" s="2" t="str">
        <x:v>Appropriate abstention (6 cases)</x:v>
      </x:c>
      <x:c r="B14" s="11" t="n">
        <x:v>1</x:v>
      </x:c>
      <x:c r="C14" s="11" t="n">
        <x:v>1</x:v>
      </x:c>
      <x:c r="D14" s="16" t="str">
        <x:v>Not run</x:v>
      </x:c>
    </x:row>
    <x:row r="15" ht="24" customHeight="1">
      <x:c r="A15" s="10" t="str">
        <x:v>Reference validity</x:v>
      </x:c>
      <x:c r="B15" s="12" t="n">
        <x:v>1</x:v>
      </x:c>
      <x:c r="C15" s="12" t="n">
        <x:v>1</x:v>
      </x:c>
      <x:c r="D15" s="15" t="str">
        <x:v>Not run</x:v>
      </x:c>
    </x:row>
    <x:row r="16" ht="24" customHeight="1">
      <x:c r="A16" s="2" t="str">
        <x:v>Documentation-backed evidence</x:v>
      </x:c>
      <x:c r="B16" s="11" t="n">
        <x:v>0</x:v>
      </x:c>
      <x:c r="C16" s="11" t="n">
        <x:v>0</x:v>
      </x:c>
      <x:c r="D16" s="16" t="str">
        <x:v>Not run</x:v>
      </x:c>
    </x:row>
    <x:row r="17" ht="24" customHeight="1">
      <x:c r="A17" s="10" t="str">
        <x:v>Synthetic evidence</x:v>
      </x:c>
      <x:c r="B17" s="12" t="n">
        <x:v>1</x:v>
      </x:c>
      <x:c r="C17" s="12" t="n">
        <x:v>1</x:v>
      </x:c>
      <x:c r="D17" s="15" t="str">
        <x:v>Not run</x:v>
      </x:c>
    </x:row>
    <x:row r="18" ht="24" customHeight="1">
      <x:c r="A18" s="2" t="str">
        <x:v>Mean response latency (ms/turn)</x:v>
      </x:c>
      <x:c r="B18" s="13" t="n">
        <x:v>0.1754463173267318</x:v>
      </x:c>
      <x:c r="C18" s="13" t="n">
        <x:v>0.20631217602186086</x:v>
      </x:c>
      <x:c r="D18" s="16" t="str">
        <x:v>Not run</x:v>
      </x:c>
    </x:row>
    <x:row r="19" ht="24" customHeight="1">
      <x:c r="A19" s="10" t="str">
        <x:v>Engineer estimated time reduction</x:v>
      </x:c>
      <x:c r="B19" s="12" t="str">
        <x:v>Unmeasured</x:v>
      </x:c>
      <x:c r="C19" s="12" t="str">
        <x:v>Unmeasured</x:v>
      </x:c>
      <x:c r="D19" s="15" t="str">
        <x:v>Not run</x:v>
      </x:c>
    </x:row>
    <x:row r="20" ht="24" customHeight="1">
      <x:c r="A20" s="2" t="str">
        <x:v>Measured task-time reduction</x:v>
      </x:c>
      <x:c r="B20" s="11" t="str">
        <x:v>Unmeasured</x:v>
      </x:c>
      <x:c r="C20" s="11" t="str">
        <x:v>Unmeasured</x:v>
      </x:c>
      <x:c r="D20" s="16" t="str">
        <x:v>Not run</x:v>
      </x:c>
    </x:row>
    <x:row r="21" ht="24" customHeight="1">
      <x:c r="A21" s="2"/>
      <x:c r="B21" s="2"/>
      <x:c r="C21" s="2"/>
      <x:c r="D21" s="2"/>
    </x:row>
    <x:row r="22" ht="24" customHeight="1">
      <x:c r="A22" s="2" t="str">
        <x:v>12 of 14 applicable cases returned the correct root cause; 6 of 6 expected abstentions were correct.</x:v>
      </x:c>
      <x:c r="B22" s="2"/>
      <x:c r="C22" s="2"/>
      <x:c r="D22" s="2"/>
    </x:row>
    <x:row r="23" ht="24" customHeight="1">
      <x:c r="A23" s="2" t="str">
        <x:v>EVAL_013 and EVAL_014 remain ambiguous and miss the three-candidate cap.</x:v>
      </x:c>
      <x:c r="B23" s="2"/>
      <x:c r="C23" s="2"/>
      <x:c r="D23" s="2"/>
    </x:row>
    <x:row r="24" ht="24" customHeight="1">
      <x:c r="A24" s="2" t="str">
        <x:v>No public source is approved for diagnostic use. Runtime evidence is synthetic.</x:v>
      </x:c>
      <x:c r="B24" s="2"/>
      <x:c r="C24" s="2"/>
      <x:c r="D24" s="2"/>
    </x:row>
    <x:row r="25" ht="24" customHeight="1">
      <x:c r="A25" s="2" t="str">
        <x:v>Local LLM preflight: Local model request failed (ConnectError)</x:v>
      </x:c>
      <x:c r="B25" s="2"/>
      <x:c r="C25" s="2"/>
      <x:c r="D25" s="2"/>
    </x:row>
    <x:row r="26" ht="24" customHeight="1">
      <x:c r="A26" s="2" t="str">
        <x:v>Source: outputs/baseline/results.json; outputs/theory-only/results.json; outputs/llm/results.json.</x:v>
      </x:c>
      <x:c r="B26" s="2"/>
      <x:c r="C26" s="2"/>
      <x:c r="D26" s="2"/>
    </x:row>
    <x:row r="27" ht="24" customHeight="1">
      <x:c r="A27" s="2" t="str">
        <x:v>45 tests; 0 failures/errors; 0 skipped. Mocked model tests are not live model evaluation.</x:v>
      </x:c>
      <x:c r="B27" s="2"/>
      <x:c r="C27" s="2"/>
      <x:c r="D27" s="2"/>
    </x:row>
    <x:row r="28" ht="24" customHeight="1">
      <x:c r="A28" s="2"/>
      <x:c r="B28" s="2"/>
      <x:c r="C28" s="2"/>
      <x:c r="D2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26" hidden="0" customWidth="1"/>
    <x:col min="3" max="3" width="53" hidden="0" customWidth="1"/>
    <x:col min="4" max="4" width="48" hidden="0" customWidth="1"/>
    <x:col min="5" max="5" width="30" hidden="0" customWidth="1"/>
    <x:col min="6" max="6" width="22" hidden="0" customWidth="1"/>
    <x:col min="7" max="7" width="23" hidden="0" customWidth="1"/>
    <x:col min="8" max="8" width="28" hidden="0" customWidth="1"/>
    <x:col min="9" max="9" width="2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3" t="str">
        <x:v>Predefined synthetic cases</x:v>
      </x:c>
      <x:c r="B2" s="2"/>
      <x:c r="C2" s="2"/>
      <x:c r="D2" s="2"/>
      <x:c r="E2" s="2"/>
      <x:c r="F2" s="2"/>
      <x:c r="G2" s="2"/>
      <x:c r="H2" s="2"/>
      <x:c r="I2" s="2"/>
    </x:row>
    <x:row r="3" ht="24" customHeight="1">
      <x:c r="A3" s="4"/>
      <x:c r="B3" s="4"/>
      <x:c r="C3" s="4"/>
      <x:c r="D3" s="4"/>
      <x:c r="E3" s="2"/>
      <x:c r="F3" s="2"/>
      <x:c r="G3" s="2"/>
      <x:c r="H3" s="2"/>
      <x:c r="I3" s="2"/>
    </x:row>
    <x:row r="4" ht="24" customHeight="1">
      <x:c r="A4" s="2" t="str">
        <x:v>Source: data/evaluation/cases.json and robustness-cases.json. Answer keys are outside runtime retrieval.</x:v>
      </x:c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32" customHeight="1">
      <x:c r="A6" s="9" t="str">
        <x:v>Case ID</x:v>
      </x:c>
      <x:c r="B6" s="9" t="str">
        <x:v>Category</x:v>
      </x:c>
      <x:c r="C6" s="9" t="str">
        <x:v>Initial symptom / test input</x:v>
      </x:c>
      <x:c r="D6" s="9" t="str">
        <x:v>Available observations</x:v>
      </x:c>
      <x:c r="E6" s="9" t="str">
        <x:v>Expected root / abstention</x:v>
      </x:c>
      <x:c r="F6" s="9" t="str">
        <x:v>Useful initial check</x:v>
      </x:c>
      <x:c r="G6" s="9" t="str">
        <x:v>Evidence basis</x:v>
      </x:c>
      <x:c r="H6" s="9" t="str">
        <x:v>Source IDs</x:v>
      </x:c>
      <x:c r="I6" s="9" t="str">
        <x:v>Population</x:v>
      </x:c>
    </x:row>
    <x:row r="7" ht="62" customHeight="1">
      <x:c r="A7" s="17" t="str">
        <x:v>EVAL_001</x:v>
      </x:c>
      <x:c r="B7" s="17" t="str">
        <x:v>follow_up</x:v>
      </x:c>
      <x:c r="C7" s="17" t="str">
        <x:v>The voltage verification step is failing. The DMM reading is near zero.</x:v>
      </x:c>
      <x:c r="D7" s="17" t="str">
        <x:v>CHECK_SUPPLY=output_disabled</x:v>
      </x:c>
      <x:c r="E7" s="17" t="str">
        <x:v>F_SUPPLY</x:v>
      </x:c>
      <x:c r="F7" s="17" t="str">
        <x:v>CHECK_SUPPLY</x:v>
      </x:c>
      <x:c r="G7" s="17" t="str">
        <x:v>synthetic_demo</x:v>
      </x:c>
      <x:c r="H7" s="17" t="str">
        <x:v>SRC_MODEL, SRC_CHECKS</x:v>
      </x:c>
      <x:c r="I7" s="17" t="str">
        <x:v>Diagnostic</x:v>
      </x:c>
    </x:row>
    <x:row r="8" ht="62" customHeight="1">
      <x:c r="A8" s="18" t="str">
        <x:v>EVAL_002</x:v>
      </x:c>
      <x:c r="B8" s="18" t="str">
        <x:v>follow_up</x:v>
      </x:c>
      <x:c r="C8" s="18" t="str">
        <x:v>The voltage verification step is failing. The DMM reading is near zero.</x:v>
      </x:c>
      <x:c r="D8" s="18" t="str">
        <x:v>CHECK_ROUTE=wrong_route</x:v>
      </x:c>
      <x:c r="E8" s="18" t="str">
        <x:v>F_ROUTE</x:v>
      </x:c>
      <x:c r="F8" s="18" t="str">
        <x:v>CHECK_SUPPLY</x:v>
      </x:c>
      <x:c r="G8" s="18" t="str">
        <x:v>synthetic_demo</x:v>
      </x:c>
      <x:c r="H8" s="18" t="str">
        <x:v>SRC_MODEL, SRC_CHECKS</x:v>
      </x:c>
      <x:c r="I8" s="18" t="str">
        <x:v>Diagnostic</x:v>
      </x:c>
    </x:row>
    <x:row r="9" ht="62" customHeight="1">
      <x:c r="A9" s="17" t="str">
        <x:v>EVAL_003</x:v>
      </x:c>
      <x:c r="B9" s="17" t="str">
        <x:v>follow_up</x:v>
      </x:c>
      <x:c r="C9" s="17" t="str">
        <x:v>The voltage verification step is failing. The DMM reading is near zero.</x:v>
      </x:c>
      <x:c r="D9" s="17" t="str">
        <x:v>CHECK_LEAD=open_path</x:v>
      </x:c>
      <x:c r="E9" s="17" t="str">
        <x:v>F_LEAD</x:v>
      </x:c>
      <x:c r="F9" s="17" t="str">
        <x:v>CHECK_SUPPLY</x:v>
      </x:c>
      <x:c r="G9" s="17" t="str">
        <x:v>synthetic_demo</x:v>
      </x:c>
      <x:c r="H9" s="17" t="str">
        <x:v>SRC_MODEL, SRC_CHECKS</x:v>
      </x:c>
      <x:c r="I9" s="17" t="str">
        <x:v>Diagnostic</x:v>
      </x:c>
    </x:row>
    <x:row r="10" ht="62" customHeight="1">
      <x:c r="A10" s="18" t="str">
        <x:v>EVAL_004</x:v>
      </x:c>
      <x:c r="B10" s="18" t="str">
        <x:v>follow_up</x:v>
      </x:c>
      <x:c r="C10" s="18" t="str">
        <x:v>The voltage verification step is failing. The DMM reading is near zero.</x:v>
      </x:c>
      <x:c r="D10" s="18" t="str">
        <x:v>CHECK_DMM=wrong_mode</x:v>
      </x:c>
      <x:c r="E10" s="18" t="str">
        <x:v>F_DMM</x:v>
      </x:c>
      <x:c r="F10" s="18" t="str">
        <x:v>CHECK_SUPPLY</x:v>
      </x:c>
      <x:c r="G10" s="18" t="str">
        <x:v>synthetic_demo</x:v>
      </x:c>
      <x:c r="H10" s="18" t="str">
        <x:v>SRC_MODEL, SRC_CHECKS</x:v>
      </x:c>
      <x:c r="I10" s="18" t="str">
        <x:v>Diagnostic</x:v>
      </x:c>
    </x:row>
    <x:row r="11" ht="62" customHeight="1">
      <x:c r="A11" s="17" t="str">
        <x:v>EVAL_005</x:v>
      </x:c>
      <x:c r="B11" s="17" t="str">
        <x:v>follow_up</x:v>
      </x:c>
      <x:c r="C11" s="17" t="str">
        <x:v>The instrument resource timed out; no reading.</x:v>
      </x:c>
      <x:c r="D11" s="17" t="str">
        <x:v>CHECK_RESOURCE=unreachable</x:v>
      </x:c>
      <x:c r="E11" s="17" t="str">
        <x:v>F_RESOURCE</x:v>
      </x:c>
      <x:c r="F11" s="17" t="str">
        <x:v>CHECK_RESOURCE</x:v>
      </x:c>
      <x:c r="G11" s="17" t="str">
        <x:v>synthetic_demo</x:v>
      </x:c>
      <x:c r="H11" s="17" t="str">
        <x:v>SRC_MODEL, SRC_CHECKS</x:v>
      </x:c>
      <x:c r="I11" s="17" t="str">
        <x:v>Diagnostic</x:v>
      </x:c>
    </x:row>
    <x:row r="12" ht="62" customHeight="1">
      <x:c r="A12" s="18" t="str">
        <x:v>EVAL_006</x:v>
      </x:c>
      <x:c r="B12" s="18" t="str">
        <x:v>follow_up</x:v>
      </x:c>
      <x:c r="C12" s="18" t="str">
        <x:v>The voltage verification step is failing. The DMM reading is near zero.</x:v>
      </x:c>
      <x:c r="D12" s="18" t="str">
        <x:v>CHECK_SEQUENCE=profile_mismatch</x:v>
      </x:c>
      <x:c r="E12" s="18" t="str">
        <x:v>F_SEQUENCE</x:v>
      </x:c>
      <x:c r="F12" s="18" t="str">
        <x:v>CHECK_SUPPLY</x:v>
      </x:c>
      <x:c r="G12" s="18" t="str">
        <x:v>synthetic_demo</x:v>
      </x:c>
      <x:c r="H12" s="18" t="str">
        <x:v>SRC_MODEL, SRC_CHECKS</x:v>
      </x:c>
      <x:c r="I12" s="18" t="str">
        <x:v>Diagnostic</x:v>
      </x:c>
    </x:row>
    <x:row r="13" ht="62" customHeight="1">
      <x:c r="A13" s="17" t="str">
        <x:v>EVAL_007</x:v>
      </x:c>
      <x:c r="B13" s="17" t="str">
        <x:v>paraphrase</x:v>
      </x:c>
      <x:c r="C13" s="17" t="str">
        <x:v>My meter reads zero volts during the 5 V test.</x:v>
      </x:c>
      <x:c r="D13" s="17" t="str">
        <x:v>CHECK_SUPPLY=output_disabled</x:v>
      </x:c>
      <x:c r="E13" s="17" t="str">
        <x:v>F_SUPPLY</x:v>
      </x:c>
      <x:c r="F13" s="17" t="str">
        <x:v>CHECK_SUPPLY</x:v>
      </x:c>
      <x:c r="G13" s="17" t="str">
        <x:v>synthetic_demo</x:v>
      </x:c>
      <x:c r="H13" s="17" t="str">
        <x:v>SRC_MODEL, SRC_CHECKS</x:v>
      </x:c>
      <x:c r="I13" s="17" t="str">
        <x:v>Diagnostic</x:v>
      </x:c>
    </x:row>
    <x:row r="14" ht="62" customHeight="1">
      <x:c r="A14" s="18" t="str">
        <x:v>EVAL_008</x:v>
      </x:c>
      <x:c r="B14" s="18" t="str">
        <x:v>paraphrase</x:v>
      </x:c>
      <x:c r="C14" s="18" t="str">
        <x:v>The voltage display is almost zero.</x:v>
      </x:c>
      <x:c r="D14" s="18" t="str">
        <x:v>CHECK_SUPPLY=normal; CHECK_ROUTE=wrong_route</x:v>
      </x:c>
      <x:c r="E14" s="18" t="str">
        <x:v>F_ROUTE</x:v>
      </x:c>
      <x:c r="F14" s="18" t="str">
        <x:v>CHECK_SUPPLY</x:v>
      </x:c>
      <x:c r="G14" s="18" t="str">
        <x:v>synthetic_demo</x:v>
      </x:c>
      <x:c r="H14" s="18" t="str">
        <x:v>SRC_MODEL, SRC_CHECKS</x:v>
      </x:c>
      <x:c r="I14" s="18" t="str">
        <x:v>Diagnostic</x:v>
      </x:c>
    </x:row>
    <x:row r="15" ht="62" customHeight="1">
      <x:c r="A15" s="17" t="str">
        <x:v>EVAL_009</x:v>
      </x:c>
      <x:c r="B15" s="17" t="str">
        <x:v>paraphrase</x:v>
      </x:c>
      <x:c r="C15" s="17" t="str">
        <x:v>DMM shows 0V in the verification step.</x:v>
      </x:c>
      <x:c r="D15" s="17" t="str">
        <x:v>CHECK_SUPPLY=normal; CHECK_LEAD=open_path</x:v>
      </x:c>
      <x:c r="E15" s="17" t="str">
        <x:v>F_LEAD</x:v>
      </x:c>
      <x:c r="F15" s="17" t="str">
        <x:v>CHECK_SUPPLY</x:v>
      </x:c>
      <x:c r="G15" s="17" t="str">
        <x:v>synthetic_demo</x:v>
      </x:c>
      <x:c r="H15" s="17" t="str">
        <x:v>SRC_MODEL, SRC_CHECKS</x:v>
      </x:c>
      <x:c r="I15" s="17" t="str">
        <x:v>Diagnostic</x:v>
      </x:c>
    </x:row>
    <x:row r="16" ht="62" customHeight="1">
      <x:c r="A16" s="18" t="str">
        <x:v>EVAL_010</x:v>
      </x:c>
      <x:c r="B16" s="18" t="str">
        <x:v>paraphrase</x:v>
      </x:c>
      <x:c r="C16" s="18" t="str">
        <x:v>Voltage measurement is essentially zero.</x:v>
      </x:c>
      <x:c r="D16" s="18" t="str">
        <x:v>CHECK_SUPPLY=normal; CHECK_DMM=wrong_mode</x:v>
      </x:c>
      <x:c r="E16" s="18" t="str">
        <x:v>F_DMM</x:v>
      </x:c>
      <x:c r="F16" s="18" t="str">
        <x:v>CHECK_SUPPLY</x:v>
      </x:c>
      <x:c r="G16" s="18" t="str">
        <x:v>synthetic_demo</x:v>
      </x:c>
      <x:c r="H16" s="18" t="str">
        <x:v>SRC_MODEL, SRC_CHECKS</x:v>
      </x:c>
      <x:c r="I16" s="18" t="str">
        <x:v>Diagnostic</x:v>
      </x:c>
    </x:row>
    <x:row r="17" ht="62" customHeight="1">
      <x:c r="A17" s="17" t="str">
        <x:v>EVAL_011</x:v>
      </x:c>
      <x:c r="B17" s="17" t="str">
        <x:v>paraphrase</x:v>
      </x:c>
      <x:c r="C17" s="17" t="str">
        <x:v>The DMM has no response; resource not found.</x:v>
      </x:c>
      <x:c r="D17" s="17" t="str">
        <x:v>CHECK_RESOURCE=unreachable</x:v>
      </x:c>
      <x:c r="E17" s="17" t="str">
        <x:v>F_RESOURCE</x:v>
      </x:c>
      <x:c r="F17" s="17" t="str">
        <x:v>CHECK_RESOURCE</x:v>
      </x:c>
      <x:c r="G17" s="17" t="str">
        <x:v>synthetic_demo</x:v>
      </x:c>
      <x:c r="H17" s="17" t="str">
        <x:v>SRC_MODEL, SRC_CHECKS</x:v>
      </x:c>
      <x:c r="I17" s="17" t="str">
        <x:v>Diagnostic</x:v>
      </x:c>
    </x:row>
    <x:row r="18" ht="62" customHeight="1">
      <x:c r="A18" s="18" t="str">
        <x:v>EVAL_012</x:v>
      </x:c>
      <x:c r="B18" s="18" t="str">
        <x:v>paraphrase</x:v>
      </x:c>
      <x:c r="C18" s="18" t="str">
        <x:v>DC verification reports a near-zero reading.</x:v>
      </x:c>
      <x:c r="D18" s="18" t="str">
        <x:v>CHECK_SUPPLY=normal; CHECK_SEQUENCE=profile_mismatch</x:v>
      </x:c>
      <x:c r="E18" s="18" t="str">
        <x:v>F_SEQUENCE</x:v>
      </x:c>
      <x:c r="F18" s="18" t="str">
        <x:v>CHECK_SUPPLY</x:v>
      </x:c>
      <x:c r="G18" s="18" t="str">
        <x:v>synthetic_demo</x:v>
      </x:c>
      <x:c r="H18" s="18" t="str">
        <x:v>SRC_MODEL, SRC_CHECKS</x:v>
      </x:c>
      <x:c r="I18" s="18" t="str">
        <x:v>Diagnostic</x:v>
      </x:c>
    </x:row>
    <x:row r="19" ht="62" customHeight="1">
      <x:c r="A19" s="17" t="str">
        <x:v>EVAL_013</x:v>
      </x:c>
      <x:c r="B19" s="17" t="str">
        <x:v>incomplete_ambiguous</x:v>
      </x:c>
      <x:c r="C19" s="17" t="str">
        <x:v>DMM reading is near zero.</x:v>
      </x:c>
      <x:c r="D19" s="17" t="str">
        <x:v>None</x:v>
      </x:c>
      <x:c r="E19" s="17" t="str">
        <x:v>F_SUPPLY</x:v>
      </x:c>
      <x:c r="F19" s="17" t="str">
        <x:v>CHECK_SUPPLY</x:v>
      </x:c>
      <x:c r="G19" s="17" t="str">
        <x:v>synthetic_demo</x:v>
      </x:c>
      <x:c r="H19" s="17" t="str">
        <x:v>SRC_MODEL, SRC_CHECKS</x:v>
      </x:c>
      <x:c r="I19" s="17" t="str">
        <x:v>Diagnostic</x:v>
      </x:c>
    </x:row>
    <x:row r="20" ht="62" customHeight="1">
      <x:c r="A20" s="18" t="str">
        <x:v>EVAL_014</x:v>
      </x:c>
      <x:c r="B20" s="18" t="str">
        <x:v>incomplete_ambiguous</x:v>
      </x:c>
      <x:c r="C20" s="18" t="str">
        <x:v>DMM reading is near zero.</x:v>
      </x:c>
      <x:c r="D20" s="18" t="str">
        <x:v>CHECK_SUPPLY=unknown</x:v>
      </x:c>
      <x:c r="E20" s="18" t="str">
        <x:v>F_SEQUENCE</x:v>
      </x:c>
      <x:c r="F20" s="18" t="str">
        <x:v>CHECK_SUPPLY</x:v>
      </x:c>
      <x:c r="G20" s="18" t="str">
        <x:v>synthetic_demo</x:v>
      </x:c>
      <x:c r="H20" s="18" t="str">
        <x:v>SRC_MODEL, SRC_CHECKS</x:v>
      </x:c>
      <x:c r="I20" s="18" t="str">
        <x:v>Diagnostic</x:v>
      </x:c>
    </x:row>
    <x:row r="21" ht="62" customHeight="1">
      <x:c r="A21" s="17" t="str">
        <x:v>EVAL_015</x:v>
      </x:c>
      <x:c r="B21" s="17" t="str">
        <x:v>unknown</x:v>
      </x:c>
      <x:c r="C21" s="17" t="str">
        <x:v>The chassis is unusually hot.</x:v>
      </x:c>
      <x:c r="D21" s="17" t="str">
        <x:v>None</x:v>
      </x:c>
      <x:c r="E21" s="17" t="str">
        <x:v>Abstain</x:v>
      </x:c>
      <x:c r="F21" s="17" t="str">
        <x:v>None</x:v>
      </x:c>
      <x:c r="G21" s="17" t="str">
        <x:v>synthetic_demo</x:v>
      </x:c>
      <x:c r="H21" s="17" t="str">
        <x:v>SRC_MODEL, SRC_CHECKS</x:v>
      </x:c>
      <x:c r="I21" s="17" t="str">
        <x:v>Diagnostic</x:v>
      </x:c>
    </x:row>
    <x:row r="22" ht="62" customHeight="1">
      <x:c r="A22" s="18" t="str">
        <x:v>EVAL_016</x:v>
      </x:c>
      <x:c r="B22" s="18" t="str">
        <x:v>out_of_scope</x:v>
      </x:c>
      <x:c r="C22" s="18" t="str">
        <x:v>Diagnose ADCP II internal radar processing faults.</x:v>
      </x:c>
      <x:c r="D22" s="18" t="str">
        <x:v>None</x:v>
      </x:c>
      <x:c r="E22" s="18" t="str">
        <x:v>Abstain</x:v>
      </x:c>
      <x:c r="F22" s="18" t="str">
        <x:v>None</x:v>
      </x:c>
      <x:c r="G22" s="18" t="str">
        <x:v>synthetic_demo</x:v>
      </x:c>
      <x:c r="H22" s="18" t="str">
        <x:v>SRC_MODEL, SRC_CHECKS</x:v>
      </x:c>
      <x:c r="I22" s="18" t="str">
        <x:v>Diagnostic</x:v>
      </x:c>
    </x:row>
    <x:row r="23" ht="62" customHeight="1">
      <x:c r="A23" s="17" t="str">
        <x:v>EVAL_017</x:v>
      </x:c>
      <x:c r="B23" s="17" t="str">
        <x:v>unsupported_voltage</x:v>
      </x:c>
      <x:c r="C23" s="17" t="str">
        <x:v>The DMM is reading 19 V instead of 5 V.</x:v>
      </x:c>
      <x:c r="D23" s="17" t="str">
        <x:v>None</x:v>
      </x:c>
      <x:c r="E23" s="17" t="str">
        <x:v>Abstain</x:v>
      </x:c>
      <x:c r="F23" s="17" t="str">
        <x:v>None</x:v>
      </x:c>
      <x:c r="G23" s="17" t="str">
        <x:v>synthetic_demo</x:v>
      </x:c>
      <x:c r="H23" s="17" t="str">
        <x:v>SRC_MODEL, SRC_CHECKS</x:v>
      </x:c>
      <x:c r="I23" s="17" t="str">
        <x:v>Diagnostic</x:v>
      </x:c>
    </x:row>
    <x:row r="24" ht="62" customHeight="1">
      <x:c r="A24" s="18" t="str">
        <x:v>EVAL_018</x:v>
      </x:c>
      <x:c r="B24" s="18" t="str">
        <x:v>contradictory</x:v>
      </x:c>
      <x:c r="C24" s="18" t="str">
        <x:v>DMM near zero</x:v>
      </x:c>
      <x:c r="D24" s="18" t="str">
        <x:v>CHECK_SUPPLY=normal; CHECK_SUPPLY=output_disabled</x:v>
      </x:c>
      <x:c r="E24" s="18" t="str">
        <x:v>Abstain</x:v>
      </x:c>
      <x:c r="F24" s="18" t="str">
        <x:v>None</x:v>
      </x:c>
      <x:c r="G24" s="18" t="str">
        <x:v>synthetic_demo</x:v>
      </x:c>
      <x:c r="H24" s="18" t="str">
        <x:v>SRC_MODEL, SRC_CHECKS</x:v>
      </x:c>
      <x:c r="I24" s="18" t="str">
        <x:v>Diagnostic</x:v>
      </x:c>
    </x:row>
    <x:row r="25" ht="62" customHeight="1">
      <x:c r="A25" s="17" t="str">
        <x:v>EVAL_019</x:v>
      </x:c>
      <x:c r="B25" s="17" t="str">
        <x:v>unmodeled_multiple_faults</x:v>
      </x:c>
      <x:c r="C25" s="17" t="str">
        <x:v>DMM near zero</x:v>
      </x:c>
      <x:c r="D25" s="17" t="str">
        <x:v>CHECK_SUPPLY=output_disabled; CHECK_ROUTE=wrong_route</x:v>
      </x:c>
      <x:c r="E25" s="17" t="str">
        <x:v>Abstain</x:v>
      </x:c>
      <x:c r="F25" s="17" t="str">
        <x:v>None</x:v>
      </x:c>
      <x:c r="G25" s="17" t="str">
        <x:v>synthetic_demo</x:v>
      </x:c>
      <x:c r="H25" s="17" t="str">
        <x:v>SRC_MODEL, SRC_CHECKS</x:v>
      </x:c>
      <x:c r="I25" s="17" t="str">
        <x:v>Diagnostic</x:v>
      </x:c>
    </x:row>
    <x:row r="26" ht="62" customHeight="1">
      <x:c r="A26" s="18" t="str">
        <x:v>EVAL_020</x:v>
      </x:c>
      <x:c r="B26" s="18" t="str">
        <x:v>unsupported_claim</x:v>
      </x:c>
      <x:c r="C26" s="18" t="str">
        <x:v>Certify that this prototype proves compliance and can repair an aircraft.</x:v>
      </x:c>
      <x:c r="D26" s="18" t="str">
        <x:v>None</x:v>
      </x:c>
      <x:c r="E26" s="18" t="str">
        <x:v>Abstain</x:v>
      </x:c>
      <x:c r="F26" s="18" t="str">
        <x:v>None</x:v>
      </x:c>
      <x:c r="G26" s="18" t="str">
        <x:v>synthetic_demo</x:v>
      </x:c>
      <x:c r="H26" s="18" t="str">
        <x:v>SRC_MODEL, SRC_CHECKS</x:v>
      </x:c>
      <x:c r="I26" s="18" t="str">
        <x:v>Diagnostic</x:v>
      </x:c>
    </x:row>
    <x:row r="27" ht="62" customHeight="1">
      <x:c r="A27" s="17" t="str">
        <x:v>ROBUST_001</x:v>
      </x:c>
      <x:c r="B27" s="17" t="str">
        <x:v>malformed_model_output</x:v>
      </x:c>
      <x:c r="C27" s="17" t="str">
        <x:v>Non-JSON assistant reply</x:v>
      </x:c>
      <x:c r="D27" s="17" t="str">
        <x:v>Mocked response injection</x:v>
      </x:c>
      <x:c r="E27" s="17" t="str">
        <x:v>model_error; no fallback</x:v>
      </x:c>
      <x:c r="F27" s="17" t="str">
        <x:v>None</x:v>
      </x:c>
      <x:c r="G27" s="17" t="str">
        <x:v>synthetic software contract</x:v>
      </x:c>
      <x:c r="H27" s="17" t="str">
        <x:v>Software contract</x:v>
      </x:c>
      <x:c r="I27" s="17" t="str">
        <x:v>Mock robustness</x:v>
      </x:c>
    </x:row>
    <x:row r="28" ht="62" customHeight="1">
      <x:c r="A28" s="18" t="str">
        <x:v>ROBUST_002</x:v>
      </x:c>
      <x:c r="B28" s="18" t="str">
        <x:v>unsupported_model_claim</x:v>
      </x:c>
      <x:c r="C28" s="18" t="str">
        <x:v>Invented citation or confidence field</x:v>
      </x:c>
      <x:c r="D28" s="18" t="str">
        <x:v>Mocked response injection</x:v>
      </x:c>
      <x:c r="E28" s="18" t="str">
        <x:v>model_error; no fallback</x:v>
      </x:c>
      <x:c r="F28" s="18" t="str">
        <x:v>None</x:v>
      </x:c>
      <x:c r="G28" s="18" t="str">
        <x:v>synthetic software contract</x:v>
      </x:c>
      <x:c r="H28" s="18" t="str">
        <x:v>Software contract</x:v>
      </x:c>
      <x:c r="I28" s="18" t="str">
        <x:v>Mock robustness</x:v>
      </x:c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</x:row>
  </x:sheetData>
  <x:pageMargins left="0.7" right="0.7" top="0.75" bottom="0.75" header="0.3" footer="0.3"/>
  <x:tableParts count="1">
    <x:tablePart xmlns:r="http://schemas.openxmlformats.org/officeDocument/2006/relationships" r:id="Rd389a8f451fe476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0" hidden="0" customWidth="1"/>
    <x:col min="4" max="4" width="43" hidden="0" customWidth="1"/>
    <x:col min="5" max="5" width="16" hidden="0" customWidth="1"/>
    <x:col min="6" max="6" width="17" hidden="0" customWidth="1"/>
    <x:col min="7" max="7" width="12" hidden="0" customWidth="1"/>
    <x:col min="8" max="8" width="19" hidden="0" customWidth="1"/>
    <x:col min="9" max="9" width="18" hidden="0" customWidth="1"/>
    <x:col min="10" max="10" width="19" hidden="0" customWidth="1"/>
    <x:col min="11" max="11" width="14" hidden="0" customWidth="1"/>
    <x:col min="12" max="12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Actual baseline results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/>
      <x:c r="B3" s="4"/>
      <x:c r="C3" s="4"/>
      <x:c r="D3" s="4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 t="str">
        <x:v>Source: outputs/baseline/results.json. Final assessment after all supplied observations; three-candidate cap.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32" customHeight="1">
      <x:c r="A6" s="9" t="str">
        <x:v>Case ID</x:v>
      </x:c>
      <x:c r="B6" s="9" t="str">
        <x:v>Status</x:v>
      </x:c>
      <x:c r="C6" s="9" t="str">
        <x:v>Expected root</x:v>
      </x:c>
      <x:c r="D6" s="9" t="str">
        <x:v>Returned candidates</x:v>
      </x:c>
      <x:c r="E6" s="9" t="str">
        <x:v>Top-1 correct</x:v>
      </x:c>
      <x:c r="F6" s="9" t="str">
        <x:v>Top-3 included</x:v>
      </x:c>
      <x:c r="G6" s="9" t="str">
        <x:v>List size</x:v>
      </x:c>
      <x:c r="H6" s="9" t="str">
        <x:v>Expected abstain</x:v>
      </x:c>
      <x:c r="I6" s="9" t="str">
        <x:v>Correct abstain</x:v>
      </x:c>
      <x:c r="J6" s="9" t="str">
        <x:v>Case latency (ms)</x:v>
      </x:c>
      <x:c r="K6" s="9" t="str">
        <x:v>Valid IDs</x:v>
      </x:c>
      <x:c r="L6" s="9" t="str">
        <x:v>IDs returned</x:v>
      </x:c>
    </x:row>
    <x:row r="7" ht="32" customHeight="1">
      <x:c r="A7" s="10" t="str">
        <x:v>EVAL_001</x:v>
      </x:c>
      <x:c r="B7" s="10" t="str">
        <x:v>candidate_identified</x:v>
      </x:c>
      <x:c r="C7" s="10" t="str">
        <x:v>F_SUPPLY</x:v>
      </x:c>
      <x:c r="D7" s="17" t="str">
        <x:v>F_SUPPLY</x:v>
      </x:c>
      <x:c r="E7" s="10" t="n">
        <x:v>1</x:v>
      </x:c>
      <x:c r="F7" s="10" t="n">
        <x:v>1</x:v>
      </x:c>
      <x:c r="G7" s="10" t="n">
        <x:v>1</x:v>
      </x:c>
      <x:c r="H7" s="10" t="n">
        <x:v>0</x:v>
      </x:c>
      <x:c r="I7" s="10"/>
      <x:c r="J7" s="19" t="n">
        <x:v>0.8990000933408737</x:v>
      </x:c>
      <x:c r="K7" s="10" t="n">
        <x:v>3</x:v>
      </x:c>
      <x:c r="L7" s="10" t="n">
        <x:v>3</x:v>
      </x:c>
    </x:row>
    <x:row r="8" ht="32" customHeight="1">
      <x:c r="A8" s="2" t="str">
        <x:v>EVAL_002</x:v>
      </x:c>
      <x:c r="B8" s="2" t="str">
        <x:v>candidate_identified</x:v>
      </x:c>
      <x:c r="C8" s="2" t="str">
        <x:v>F_ROUTE</x:v>
      </x:c>
      <x:c r="D8" s="18" t="str">
        <x:v>F_ROUTE</x:v>
      </x:c>
      <x:c r="E8" s="2" t="n">
        <x:v>1</x:v>
      </x:c>
      <x:c r="F8" s="2" t="n">
        <x:v>1</x:v>
      </x:c>
      <x:c r="G8" s="2" t="n">
        <x:v>1</x:v>
      </x:c>
      <x:c r="H8" s="2" t="n">
        <x:v>0</x:v>
      </x:c>
      <x:c r="I8" s="2"/>
      <x:c r="J8" s="20" t="n">
        <x:v>0.37499982863664627</x:v>
      </x:c>
      <x:c r="K8" s="2" t="n">
        <x:v>3</x:v>
      </x:c>
      <x:c r="L8" s="2" t="n">
        <x:v>3</x:v>
      </x:c>
    </x:row>
    <x:row r="9" ht="32" customHeight="1">
      <x:c r="A9" s="10" t="str">
        <x:v>EVAL_003</x:v>
      </x:c>
      <x:c r="B9" s="10" t="str">
        <x:v>candidate_identified</x:v>
      </x:c>
      <x:c r="C9" s="10" t="str">
        <x:v>F_LEAD</x:v>
      </x:c>
      <x:c r="D9" s="17" t="str">
        <x:v>F_LEAD</x:v>
      </x:c>
      <x:c r="E9" s="10" t="n">
        <x:v>1</x:v>
      </x:c>
      <x:c r="F9" s="10" t="n">
        <x:v>1</x:v>
      </x:c>
      <x:c r="G9" s="10" t="n">
        <x:v>1</x:v>
      </x:c>
      <x:c r="H9" s="10" t="n">
        <x:v>0</x:v>
      </x:c>
      <x:c r="I9" s="10"/>
      <x:c r="J9" s="19" t="n">
        <x:v>0.33020018599927425</x:v>
      </x:c>
      <x:c r="K9" s="10" t="n">
        <x:v>3</x:v>
      </x:c>
      <x:c r="L9" s="10" t="n">
        <x:v>3</x:v>
      </x:c>
    </x:row>
    <x:row r="10" ht="32" customHeight="1">
      <x:c r="A10" s="2" t="str">
        <x:v>EVAL_004</x:v>
      </x:c>
      <x:c r="B10" s="2" t="str">
        <x:v>candidate_identified</x:v>
      </x:c>
      <x:c r="C10" s="2" t="str">
        <x:v>F_DMM</x:v>
      </x:c>
      <x:c r="D10" s="18" t="str">
        <x:v>F_DMM</x:v>
      </x:c>
      <x:c r="E10" s="2" t="n">
        <x:v>1</x:v>
      </x:c>
      <x:c r="F10" s="2" t="n">
        <x:v>1</x:v>
      </x:c>
      <x:c r="G10" s="2" t="n">
        <x:v>1</x:v>
      </x:c>
      <x:c r="H10" s="2" t="n">
        <x:v>0</x:v>
      </x:c>
      <x:c r="I10" s="2"/>
      <x:c r="J10" s="20" t="n">
        <x:v>0.32199989072978497</x:v>
      </x:c>
      <x:c r="K10" s="2" t="n">
        <x:v>3</x:v>
      </x:c>
      <x:c r="L10" s="2" t="n">
        <x:v>3</x:v>
      </x:c>
    </x:row>
    <x:row r="11" ht="32" customHeight="1">
      <x:c r="A11" s="10" t="str">
        <x:v>EVAL_005</x:v>
      </x:c>
      <x:c r="B11" s="10" t="str">
        <x:v>candidate_identified</x:v>
      </x:c>
      <x:c r="C11" s="10" t="str">
        <x:v>F_RESOURCE</x:v>
      </x:c>
      <x:c r="D11" s="17" t="str">
        <x:v>F_RESOURCE</x:v>
      </x:c>
      <x:c r="E11" s="10" t="n">
        <x:v>1</x:v>
      </x:c>
      <x:c r="F11" s="10" t="n">
        <x:v>1</x:v>
      </x:c>
      <x:c r="G11" s="10" t="n">
        <x:v>1</x:v>
      </x:c>
      <x:c r="H11" s="10" t="n">
        <x:v>0</x:v>
      </x:c>
      <x:c r="I11" s="10"/>
      <x:c r="J11" s="19" t="n">
        <x:v>0.21070009097456932</x:v>
      </x:c>
      <x:c r="K11" s="10" t="n">
        <x:v>3</x:v>
      </x:c>
      <x:c r="L11" s="10" t="n">
        <x:v>3</x:v>
      </x:c>
    </x:row>
    <x:row r="12" ht="32" customHeight="1">
      <x:c r="A12" s="2" t="str">
        <x:v>EVAL_006</x:v>
      </x:c>
      <x:c r="B12" s="2" t="str">
        <x:v>candidate_identified</x:v>
      </x:c>
      <x:c r="C12" s="2" t="str">
        <x:v>F_SEQUENCE</x:v>
      </x:c>
      <x:c r="D12" s="18" t="str">
        <x:v>F_SEQUENCE</x:v>
      </x:c>
      <x:c r="E12" s="2" t="n">
        <x:v>1</x:v>
      </x:c>
      <x:c r="F12" s="2" t="n">
        <x:v>1</x:v>
      </x:c>
      <x:c r="G12" s="2" t="n">
        <x:v>1</x:v>
      </x:c>
      <x:c r="H12" s="2" t="n">
        <x:v>0</x:v>
      </x:c>
      <x:c r="I12" s="2"/>
      <x:c r="J12" s="20" t="n">
        <x:v>0.3256998024880886</x:v>
      </x:c>
      <x:c r="K12" s="2" t="n">
        <x:v>3</x:v>
      </x:c>
      <x:c r="L12" s="2" t="n">
        <x:v>3</x:v>
      </x:c>
    </x:row>
    <x:row r="13" ht="32" customHeight="1">
      <x:c r="A13" s="10" t="str">
        <x:v>EVAL_007</x:v>
      </x:c>
      <x:c r="B13" s="10" t="str">
        <x:v>candidate_identified</x:v>
      </x:c>
      <x:c r="C13" s="10" t="str">
        <x:v>F_SUPPLY</x:v>
      </x:c>
      <x:c r="D13" s="17" t="str">
        <x:v>F_SUPPLY</x:v>
      </x:c>
      <x:c r="E13" s="10" t="n">
        <x:v>1</x:v>
      </x:c>
      <x:c r="F13" s="10" t="n">
        <x:v>1</x:v>
      </x:c>
      <x:c r="G13" s="10" t="n">
        <x:v>1</x:v>
      </x:c>
      <x:c r="H13" s="10" t="n">
        <x:v>0</x:v>
      </x:c>
      <x:c r="I13" s="10"/>
      <x:c r="J13" s="19" t="n">
        <x:v>0.32439990900456905</x:v>
      </x:c>
      <x:c r="K13" s="10" t="n">
        <x:v>3</x:v>
      </x:c>
      <x:c r="L13" s="10" t="n">
        <x:v>3</x:v>
      </x:c>
    </x:row>
    <x:row r="14" ht="32" customHeight="1">
      <x:c r="A14" s="2" t="str">
        <x:v>EVAL_008</x:v>
      </x:c>
      <x:c r="B14" s="2" t="str">
        <x:v>candidate_identified</x:v>
      </x:c>
      <x:c r="C14" s="2" t="str">
        <x:v>F_ROUTE</x:v>
      </x:c>
      <x:c r="D14" s="18" t="str">
        <x:v>F_ROUTE, F_DMM, F_LEAD</x:v>
      </x:c>
      <x:c r="E14" s="2" t="n">
        <x:v>1</x:v>
      </x:c>
      <x:c r="F14" s="2" t="n">
        <x:v>1</x:v>
      </x:c>
      <x:c r="G14" s="2" t="n">
        <x:v>3</x:v>
      </x:c>
      <x:c r="H14" s="2" t="n">
        <x:v>0</x:v>
      </x:c>
      <x:c r="I14" s="2"/>
      <x:c r="J14" s="20" t="n">
        <x:v>1.261499710381031</x:v>
      </x:c>
      <x:c r="K14" s="2" t="n">
        <x:v>7</x:v>
      </x:c>
      <x:c r="L14" s="2" t="n">
        <x:v>7</x:v>
      </x:c>
    </x:row>
    <x:row r="15" ht="32" customHeight="1">
      <x:c r="A15" s="10" t="str">
        <x:v>EVAL_009</x:v>
      </x:c>
      <x:c r="B15" s="10" t="str">
        <x:v>candidate_identified</x:v>
      </x:c>
      <x:c r="C15" s="10" t="str">
        <x:v>F_LEAD</x:v>
      </x:c>
      <x:c r="D15" s="17" t="str">
        <x:v>F_LEAD, F_DMM, F_ROUTE</x:v>
      </x:c>
      <x:c r="E15" s="10" t="n">
        <x:v>1</x:v>
      </x:c>
      <x:c r="F15" s="10" t="n">
        <x:v>1</x:v>
      </x:c>
      <x:c r="G15" s="10" t="n">
        <x:v>3</x:v>
      </x:c>
      <x:c r="H15" s="10" t="n">
        <x:v>0</x:v>
      </x:c>
      <x:c r="I15" s="10"/>
      <x:c r="J15" s="19" t="n">
        <x:v>0.4996000789105892</x:v>
      </x:c>
      <x:c r="K15" s="10" t="n">
        <x:v>7</x:v>
      </x:c>
      <x:c r="L15" s="10" t="n">
        <x:v>7</x:v>
      </x:c>
    </x:row>
    <x:row r="16" ht="32" customHeight="1">
      <x:c r="A16" s="2" t="str">
        <x:v>EVAL_010</x:v>
      </x:c>
      <x:c r="B16" s="2" t="str">
        <x:v>candidate_identified</x:v>
      </x:c>
      <x:c r="C16" s="2" t="str">
        <x:v>F_DMM</x:v>
      </x:c>
      <x:c r="D16" s="18" t="str">
        <x:v>F_DMM, F_LEAD, F_ROUTE</x:v>
      </x:c>
      <x:c r="E16" s="2" t="n">
        <x:v>1</x:v>
      </x:c>
      <x:c r="F16" s="2" t="n">
        <x:v>1</x:v>
      </x:c>
      <x:c r="G16" s="2" t="n">
        <x:v>3</x:v>
      </x:c>
      <x:c r="H16" s="2" t="n">
        <x:v>0</x:v>
      </x:c>
      <x:c r="I16" s="2"/>
      <x:c r="J16" s="20" t="n">
        <x:v>0.49139978364109993</x:v>
      </x:c>
      <x:c r="K16" s="2" t="n">
        <x:v>7</x:v>
      </x:c>
      <x:c r="L16" s="2" t="n">
        <x:v>7</x:v>
      </x:c>
    </x:row>
    <x:row r="17" ht="32" customHeight="1">
      <x:c r="A17" s="10" t="str">
        <x:v>EVAL_011</x:v>
      </x:c>
      <x:c r="B17" s="10" t="str">
        <x:v>candidate_identified</x:v>
      </x:c>
      <x:c r="C17" s="10" t="str">
        <x:v>F_RESOURCE</x:v>
      </x:c>
      <x:c r="D17" s="17" t="str">
        <x:v>F_RESOURCE</x:v>
      </x:c>
      <x:c r="E17" s="10" t="n">
        <x:v>1</x:v>
      </x:c>
      <x:c r="F17" s="10" t="n">
        <x:v>1</x:v>
      </x:c>
      <x:c r="G17" s="10" t="n">
        <x:v>1</x:v>
      </x:c>
      <x:c r="H17" s="10" t="n">
        <x:v>0</x:v>
      </x:c>
      <x:c r="I17" s="10"/>
      <x:c r="J17" s="19" t="n">
        <x:v>0.21159998141229153</x:v>
      </x:c>
      <x:c r="K17" s="10" t="n">
        <x:v>3</x:v>
      </x:c>
      <x:c r="L17" s="10" t="n">
        <x:v>3</x:v>
      </x:c>
    </x:row>
    <x:row r="18" ht="32" customHeight="1">
      <x:c r="A18" s="2" t="str">
        <x:v>EVAL_012</x:v>
      </x:c>
      <x:c r="B18" s="2" t="str">
        <x:v>candidate_identified</x:v>
      </x:c>
      <x:c r="C18" s="2" t="str">
        <x:v>F_SEQUENCE</x:v>
      </x:c>
      <x:c r="D18" s="18" t="str">
        <x:v>F_SEQUENCE, F_DMM, F_LEAD</x:v>
      </x:c>
      <x:c r="E18" s="2" t="n">
        <x:v>1</x:v>
      </x:c>
      <x:c r="F18" s="2" t="n">
        <x:v>1</x:v>
      </x:c>
      <x:c r="G18" s="2" t="n">
        <x:v>3</x:v>
      </x:c>
      <x:c r="H18" s="2" t="n">
        <x:v>0</x:v>
      </x:c>
      <x:c r="I18" s="2"/>
      <x:c r="J18" s="20" t="n">
        <x:v>0.497899716719985</x:v>
      </x:c>
      <x:c r="K18" s="2" t="n">
        <x:v>7</x:v>
      </x:c>
      <x:c r="L18" s="2" t="n">
        <x:v>7</x:v>
      </x:c>
    </x:row>
    <x:row r="19" ht="32" customHeight="1">
      <x:c r="A19" s="10" t="str">
        <x:v>EVAL_013</x:v>
      </x:c>
      <x:c r="B19" s="10" t="str">
        <x:v>needs_observations</x:v>
      </x:c>
      <x:c r="C19" s="10" t="str">
        <x:v>F_SUPPLY</x:v>
      </x:c>
      <x:c r="D19" s="17" t="str">
        <x:v>F_DMM, F_LEAD, F_ROUTE</x:v>
      </x:c>
      <x:c r="E19" s="10" t="n">
        <x:v>0</x:v>
      </x:c>
      <x:c r="F19" s="10" t="n">
        <x:v>0</x:v>
      </x:c>
      <x:c r="G19" s="10" t="n">
        <x:v>3</x:v>
      </x:c>
      <x:c r="H19" s="10" t="n">
        <x:v>0</x:v>
      </x:c>
      <x:c r="I19" s="10"/>
      <x:c r="J19" s="19" t="n">
        <x:v>0.17179991118609905</x:v>
      </x:c>
      <x:c r="K19" s="10" t="n">
        <x:v>7</x:v>
      </x:c>
      <x:c r="L19" s="10" t="n">
        <x:v>7</x:v>
      </x:c>
    </x:row>
    <x:row r="20" ht="32" customHeight="1">
      <x:c r="A20" s="2" t="str">
        <x:v>EVAL_014</x:v>
      </x:c>
      <x:c r="B20" s="2" t="str">
        <x:v>needs_observations</x:v>
      </x:c>
      <x:c r="C20" s="2" t="str">
        <x:v>F_SEQUENCE</x:v>
      </x:c>
      <x:c r="D20" s="18" t="str">
        <x:v>F_DMM, F_LEAD, F_ROUTE</x:v>
      </x:c>
      <x:c r="E20" s="2" t="n">
        <x:v>0</x:v>
      </x:c>
      <x:c r="F20" s="2" t="n">
        <x:v>0</x:v>
      </x:c>
      <x:c r="G20" s="2" t="n">
        <x:v>3</x:v>
      </x:c>
      <x:c r="H20" s="2" t="n">
        <x:v>0</x:v>
      </x:c>
      <x:c r="I20" s="2"/>
      <x:c r="J20" s="20" t="n">
        <x:v>0.327700050547719</x:v>
      </x:c>
      <x:c r="K20" s="2" t="n">
        <x:v>7</x:v>
      </x:c>
      <x:c r="L20" s="2" t="n">
        <x:v>7</x:v>
      </x:c>
    </x:row>
    <x:row r="21" ht="32" customHeight="1">
      <x:c r="A21" s="10" t="str">
        <x:v>EVAL_015</x:v>
      </x:c>
      <x:c r="B21" s="10" t="str">
        <x:v>abstain</x:v>
      </x:c>
      <x:c r="C21" s="10" t="str"/>
      <x:c r="D21" s="17" t="str"/>
      <x:c r="E21" s="10"/>
      <x:c r="F21" s="10"/>
      <x:c r="G21" s="10" t="n">
        <x:v>0</x:v>
      </x:c>
      <x:c r="H21" s="10" t="n">
        <x:v>1</x:v>
      </x:c>
      <x:c r="I21" s="10" t="n">
        <x:v>1</x:v>
      </x:c>
      <x:c r="J21" s="19" t="n">
        <x:v>0.0475000124424696</x:v>
      </x:c>
      <x:c r="K21" s="10" t="n">
        <x:v>0</x:v>
      </x:c>
      <x:c r="L21" s="10" t="n">
        <x:v>0</x:v>
      </x:c>
    </x:row>
    <x:row r="22" ht="32" customHeight="1">
      <x:c r="A22" s="2" t="str">
        <x:v>EVAL_016</x:v>
      </x:c>
      <x:c r="B22" s="2" t="str">
        <x:v>abstain</x:v>
      </x:c>
      <x:c r="C22" s="2" t="str"/>
      <x:c r="D22" s="18" t="str"/>
      <x:c r="E22" s="2"/>
      <x:c r="F22" s="2"/>
      <x:c r="G22" s="2" t="n">
        <x:v>0</x:v>
      </x:c>
      <x:c r="H22" s="2" t="n">
        <x:v>1</x:v>
      </x:c>
      <x:c r="I22" s="2" t="n">
        <x:v>1</x:v>
      </x:c>
      <x:c r="J22" s="20" t="n">
        <x:v>0.015700003132224083</x:v>
      </x:c>
      <x:c r="K22" s="2" t="n">
        <x:v>0</x:v>
      </x:c>
      <x:c r="L22" s="2" t="n">
        <x:v>0</x:v>
      </x:c>
    </x:row>
    <x:row r="23" ht="32" customHeight="1">
      <x:c r="A23" s="10" t="str">
        <x:v>EVAL_017</x:v>
      </x:c>
      <x:c r="B23" s="10" t="str">
        <x:v>abstain</x:v>
      </x:c>
      <x:c r="C23" s="10" t="str"/>
      <x:c r="D23" s="17" t="str"/>
      <x:c r="E23" s="10"/>
      <x:c r="F23" s="10"/>
      <x:c r="G23" s="10" t="n">
        <x:v>0</x:v>
      </x:c>
      <x:c r="H23" s="10" t="n">
        <x:v>1</x:v>
      </x:c>
      <x:c r="I23" s="10" t="n">
        <x:v>1</x:v>
      </x:c>
      <x:c r="J23" s="19" t="n">
        <x:v>0.04349998198449612</x:v>
      </x:c>
      <x:c r="K23" s="10" t="n">
        <x:v>0</x:v>
      </x:c>
      <x:c r="L23" s="10" t="n">
        <x:v>0</x:v>
      </x:c>
    </x:row>
    <x:row r="24" ht="32" customHeight="1">
      <x:c r="A24" s="2" t="str">
        <x:v>EVAL_018</x:v>
      </x:c>
      <x:c r="B24" s="2" t="str">
        <x:v>abstain</x:v>
      </x:c>
      <x:c r="C24" s="2" t="str"/>
      <x:c r="D24" s="18" t="str"/>
      <x:c r="E24" s="2"/>
      <x:c r="F24" s="2"/>
      <x:c r="G24" s="2" t="n">
        <x:v>0</x:v>
      </x:c>
      <x:c r="H24" s="2" t="n">
        <x:v>1</x:v>
      </x:c>
      <x:c r="I24" s="2" t="n">
        <x:v>1</x:v>
      </x:c>
      <x:c r="J24" s="20" t="n">
        <x:v>0.36780000664293766</x:v>
      </x:c>
      <x:c r="K24" s="2" t="n">
        <x:v>0</x:v>
      </x:c>
      <x:c r="L24" s="2" t="n">
        <x:v>0</x:v>
      </x:c>
    </x:row>
    <x:row r="25" ht="32" customHeight="1">
      <x:c r="A25" s="10" t="str">
        <x:v>EVAL_019</x:v>
      </x:c>
      <x:c r="B25" s="10" t="str">
        <x:v>abstain</x:v>
      </x:c>
      <x:c r="C25" s="10" t="str"/>
      <x:c r="D25" s="17" t="str"/>
      <x:c r="E25" s="10"/>
      <x:c r="F25" s="10"/>
      <x:c r="G25" s="10" t="n">
        <x:v>0</x:v>
      </x:c>
      <x:c r="H25" s="10" t="n">
        <x:v>1</x:v>
      </x:c>
      <x:c r="I25" s="10" t="n">
        <x:v>1</x:v>
      </x:c>
      <x:c r="J25" s="19" t="n">
        <x:v>0.4220998380333185</x:v>
      </x:c>
      <x:c r="K25" s="10" t="n">
        <x:v>0</x:v>
      </x:c>
      <x:c r="L25" s="10" t="n">
        <x:v>0</x:v>
      </x:c>
    </x:row>
    <x:row r="26" ht="32" customHeight="1">
      <x:c r="A26" s="2" t="str">
        <x:v>EVAL_020</x:v>
      </x:c>
      <x:c r="B26" s="2" t="str">
        <x:v>abstain</x:v>
      </x:c>
      <x:c r="C26" s="2" t="str"/>
      <x:c r="D26" s="18" t="str"/>
      <x:c r="E26" s="2"/>
      <x:c r="F26" s="2"/>
      <x:c r="G26" s="2" t="n">
        <x:v>0</x:v>
      </x:c>
      <x:c r="H26" s="2" t="n">
        <x:v>1</x:v>
      </x:c>
      <x:c r="I26" s="2" t="n">
        <x:v>1</x:v>
      </x:c>
      <x:c r="J26" s="20" t="n">
        <x:v>0.04820013418793678</x:v>
      </x:c>
      <x:c r="K26" s="2" t="n">
        <x:v>0</x:v>
      </x:c>
      <x:c r="L26" s="2" t="n">
        <x:v>0</x:v>
      </x:c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</x:sheetData>
  <x:conditionalFormatting sqref="E7:F26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22bac828774a5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23" hidden="0" customWidth="1"/>
    <x:col min="3" max="3" width="23" hidden="0" customWidth="1"/>
    <x:col min="4" max="4" width="23" hidden="0" customWidth="1"/>
    <x:col min="5" max="5" width="25" hidden="0" customWidth="1"/>
    <x:col min="6" max="6" width="25" hidden="0" customWidth="1"/>
    <x:col min="7" max="7" width="23" hidden="0" customWidth="1"/>
    <x:col min="8" max="8" width="22" hidden="0" customWidth="1"/>
    <x:col min="9" max="9" width="40" hidden="0" customWidth="1"/>
    <x:col min="10" max="10" width="40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Engineer time estimates and measured task time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/>
      <x:c r="B3" s="4"/>
      <x:c r="C3" s="4"/>
      <x:c r="D3" s="4"/>
      <x:c r="E3" s="2"/>
      <x:c r="F3" s="2"/>
      <x:c r="G3" s="2"/>
      <x:c r="H3" s="2"/>
      <x:c r="I3" s="2"/>
      <x:c r="J3" s="2"/>
    </x:row>
    <x:row r="4" ht="24" customHeight="1">
      <x:c r="A4" s="2" t="str">
        <x:v>Amber cells are inputs. Leave blank until genuine data exists. Times are minutes; estimates and measurements are separate.</x:v>
      </x:c>
      <x:c r="B4" s="2"/>
      <x:c r="C4" s="2"/>
      <x:c r="D4" s="2"/>
      <x:c r="E4" s="2"/>
      <x:c r="F4" s="2"/>
      <x:c r="G4" s="2"/>
      <x:c r="H4" s="2"/>
      <x:c r="I4" s="2"/>
      <x:c r="J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 ht="32" customHeight="1">
      <x:c r="A6" s="9" t="str">
        <x:v>Scenario ID</x:v>
      </x:c>
      <x:c r="B6" s="9" t="str">
        <x:v>Manual estimate (min)</x:v>
      </x:c>
      <x:c r="C6" s="9" t="str">
        <x:v>Assisted estimate (min)</x:v>
      </x:c>
      <x:c r="D6" s="9" t="str">
        <x:v>Estimated reduction</x:v>
      </x:c>
      <x:c r="E6" s="9" t="str">
        <x:v>Manual measured (min)</x:v>
      </x:c>
      <x:c r="F6" s="9" t="str">
        <x:v>Assisted measured (min)</x:v>
      </x:c>
      <x:c r="G6" s="9" t="str">
        <x:v>Measured reduction</x:v>
      </x:c>
      <x:c r="H6" s="9" t="str">
        <x:v>Participant code</x:v>
      </x:c>
      <x:c r="I6" s="9" t="str">
        <x:v>Task definition</x:v>
      </x:c>
      <x:c r="J6" s="9" t="str">
        <x:v>Method / review notes</x:v>
      </x:c>
    </x:row>
    <x:row r="7" ht="24" customHeight="1">
      <x:c r="A7" s="21"/>
      <x:c r="B7" s="22"/>
      <x:c r="C7" s="22"/>
      <x:c r="D7" s="12" t="str">
        <x:f>IF(COUNT(B7:C7)&lt;2,"",IF(OR(B7&lt;=0,C7&lt;0),"Invalid input",1-C7/B7))</x:f>
      </x:c>
      <x:c r="E7" s="22"/>
      <x:c r="F7" s="22"/>
      <x:c r="G7" s="12" t="str">
        <x:f>IF(COUNT(E7:F7)&lt;2,"",IF(OR(E7&lt;=0,F7&lt;0),"Invalid input",1-F7/E7))</x:f>
      </x:c>
      <x:c r="H7" s="21"/>
      <x:c r="I7" s="21"/>
      <x:c r="J7" s="21"/>
    </x:row>
    <x:row r="8" ht="24" customHeight="1">
      <x:c r="A8" s="21"/>
      <x:c r="B8" s="22"/>
      <x:c r="C8" s="22"/>
      <x:c r="D8" s="12" t="str">
        <x:f>IF(COUNT(B8:C8)&lt;2,"",IF(OR(B8&lt;=0,C8&lt;0),"Invalid input",1-C8/B8))</x:f>
      </x:c>
      <x:c r="E8" s="22"/>
      <x:c r="F8" s="22"/>
      <x:c r="G8" s="12" t="str">
        <x:f>IF(COUNT(E8:F8)&lt;2,"",IF(OR(E8&lt;=0,F8&lt;0),"Invalid input",1-F8/E8))</x:f>
      </x:c>
      <x:c r="H8" s="21"/>
      <x:c r="I8" s="21"/>
      <x:c r="J8" s="21"/>
    </x:row>
    <x:row r="9" ht="24" customHeight="1">
      <x:c r="A9" s="21"/>
      <x:c r="B9" s="22"/>
      <x:c r="C9" s="22"/>
      <x:c r="D9" s="12" t="str">
        <x:f>IF(COUNT(B9:C9)&lt;2,"",IF(OR(B9&lt;=0,C9&lt;0),"Invalid input",1-C9/B9))</x:f>
      </x:c>
      <x:c r="E9" s="22"/>
      <x:c r="F9" s="22"/>
      <x:c r="G9" s="12" t="str">
        <x:f>IF(COUNT(E9:F9)&lt;2,"",IF(OR(E9&lt;=0,F9&lt;0),"Invalid input",1-F9/E9))</x:f>
      </x:c>
      <x:c r="H9" s="21"/>
      <x:c r="I9" s="21"/>
      <x:c r="J9" s="21"/>
    </x:row>
    <x:row r="10" ht="24" customHeight="1">
      <x:c r="A10" s="21"/>
      <x:c r="B10" s="22"/>
      <x:c r="C10" s="22"/>
      <x:c r="D10" s="12" t="str">
        <x:f>IF(COUNT(B10:C10)&lt;2,"",IF(OR(B10&lt;=0,C10&lt;0),"Invalid input",1-C10/B10))</x:f>
      </x:c>
      <x:c r="E10" s="22"/>
      <x:c r="F10" s="22"/>
      <x:c r="G10" s="12" t="str">
        <x:f>IF(COUNT(E10:F10)&lt;2,"",IF(OR(E10&lt;=0,F10&lt;0),"Invalid input",1-F10/E10))</x:f>
      </x:c>
      <x:c r="H10" s="21"/>
      <x:c r="I10" s="21"/>
      <x:c r="J10" s="21"/>
    </x:row>
    <x:row r="11" ht="24" customHeight="1">
      <x:c r="A11" s="21"/>
      <x:c r="B11" s="22"/>
      <x:c r="C11" s="22"/>
      <x:c r="D11" s="12" t="str">
        <x:f>IF(COUNT(B11:C11)&lt;2,"",IF(OR(B11&lt;=0,C11&lt;0),"Invalid input",1-C11/B11))</x:f>
      </x:c>
      <x:c r="E11" s="22"/>
      <x:c r="F11" s="22"/>
      <x:c r="G11" s="12" t="str">
        <x:f>IF(COUNT(E11:F11)&lt;2,"",IF(OR(E11&lt;=0,F11&lt;0),"Invalid input",1-F11/E11))</x:f>
      </x:c>
      <x:c r="H11" s="21"/>
      <x:c r="I11" s="21"/>
      <x:c r="J11" s="21"/>
    </x:row>
    <x:row r="12" ht="24" customHeight="1">
      <x:c r="A12" s="21"/>
      <x:c r="B12" s="22"/>
      <x:c r="C12" s="22"/>
      <x:c r="D12" s="12" t="str">
        <x:f>IF(COUNT(B12:C12)&lt;2,"",IF(OR(B12&lt;=0,C12&lt;0),"Invalid input",1-C12/B12))</x:f>
      </x:c>
      <x:c r="E12" s="22"/>
      <x:c r="F12" s="22"/>
      <x:c r="G12" s="12" t="str">
        <x:f>IF(COUNT(E12:F12)&lt;2,"",IF(OR(E12&lt;=0,F12&lt;0),"Invalid input",1-F12/E12))</x:f>
      </x:c>
      <x:c r="H12" s="21"/>
      <x:c r="I12" s="21"/>
      <x:c r="J12" s="21"/>
    </x:row>
    <x:row r="13" ht="24" customHeight="1">
      <x:c r="A13" s="21"/>
      <x:c r="B13" s="22"/>
      <x:c r="C13" s="22"/>
      <x:c r="D13" s="12" t="str">
        <x:f>IF(COUNT(B13:C13)&lt;2,"",IF(OR(B13&lt;=0,C13&lt;0),"Invalid input",1-C13/B13))</x:f>
      </x:c>
      <x:c r="E13" s="22"/>
      <x:c r="F13" s="22"/>
      <x:c r="G13" s="12" t="str">
        <x:f>IF(COUNT(E13:F13)&lt;2,"",IF(OR(E13&lt;=0,F13&lt;0),"Invalid input",1-F13/E13))</x:f>
      </x:c>
      <x:c r="H13" s="21"/>
      <x:c r="I13" s="21"/>
      <x:c r="J13" s="21"/>
    </x:row>
    <x:row r="14" ht="24" customHeight="1">
      <x:c r="A14" s="21"/>
      <x:c r="B14" s="22"/>
      <x:c r="C14" s="22"/>
      <x:c r="D14" s="12" t="str">
        <x:f>IF(COUNT(B14:C14)&lt;2,"",IF(OR(B14&lt;=0,C14&lt;0),"Invalid input",1-C14/B14))</x:f>
      </x:c>
      <x:c r="E14" s="22"/>
      <x:c r="F14" s="22"/>
      <x:c r="G14" s="12" t="str">
        <x:f>IF(COUNT(E14:F14)&lt;2,"",IF(OR(E14&lt;=0,F14&lt;0),"Invalid input",1-F14/E14))</x:f>
      </x:c>
      <x:c r="H14" s="21"/>
      <x:c r="I14" s="21"/>
      <x:c r="J14" s="21"/>
    </x:row>
    <x:row r="15" ht="24" customHeight="1">
      <x:c r="A15" s="21"/>
      <x:c r="B15" s="22"/>
      <x:c r="C15" s="22"/>
      <x:c r="D15" s="12" t="str">
        <x:f>IF(COUNT(B15:C15)&lt;2,"",IF(OR(B15&lt;=0,C15&lt;0),"Invalid input",1-C15/B15))</x:f>
      </x:c>
      <x:c r="E15" s="22"/>
      <x:c r="F15" s="22"/>
      <x:c r="G15" s="12" t="str">
        <x:f>IF(COUNT(E15:F15)&lt;2,"",IF(OR(E15&lt;=0,F15&lt;0),"Invalid input",1-F15/E15))</x:f>
      </x:c>
      <x:c r="H15" s="21"/>
      <x:c r="I15" s="21"/>
      <x:c r="J15" s="21"/>
    </x:row>
    <x:row r="16" ht="24" customHeight="1">
      <x:c r="A16" s="21"/>
      <x:c r="B16" s="22"/>
      <x:c r="C16" s="22"/>
      <x:c r="D16" s="12" t="str">
        <x:f>IF(COUNT(B16:C16)&lt;2,"",IF(OR(B16&lt;=0,C16&lt;0),"Invalid input",1-C16/B16))</x:f>
      </x:c>
      <x:c r="E16" s="22"/>
      <x:c r="F16" s="22"/>
      <x:c r="G16" s="12" t="str">
        <x:f>IF(COUNT(E16:F16)&lt;2,"",IF(OR(E16&lt;=0,F16&lt;0),"Invalid input",1-F16/E16))</x:f>
      </x:c>
      <x:c r="H16" s="21"/>
      <x:c r="I16" s="21"/>
      <x:c r="J16" s="21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4" customHeight="1">
      <x:c r="A18" s="2" t="str">
        <x:v>Scope target: at least 25% lower estimated troubleshooting time. Response latency is not engineer task time.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24" customHeight="1">
      <x:c r="A19" s="2" t="str">
        <x:v>Record generic scenario, anonymous participant code, task boundaries, assistance allowed and test order. No personal contact details.</x:v>
      </x:c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4" customHeight="1">
      <x:c r="A20" s="2" t="str">
        <x:v>Source: genuine future engineer inputs only. No estimates or measured times have been collected.</x:v>
      </x:c>
      <x:c r="B20" s="2"/>
      <x:c r="C20" s="2"/>
      <x:c r="D20" s="2"/>
      <x:c r="E20" s="2"/>
      <x:c r="F20" s="2"/>
      <x:c r="G20" s="2"/>
      <x:c r="H20" s="2"/>
      <x:c r="I20" s="2"/>
      <x:c r="J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</x:row>
  </x:sheetData>
  <x:pageMargins left="0.7" right="0.7" top="0.75" bottom="0.75" header="0.3" footer="0.3"/>
  <x:tableParts count="1">
    <x:tablePart xmlns:r="http://schemas.openxmlformats.org/officeDocument/2006/relationships" r:id="R658fab6e862f4b9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35" hidden="0" customWidth="1"/>
    <x:col min="2" max="2" width="110" hidden="0" customWidth="1"/>
  </x:cols>
  <x:sheetData>
    <x:row r="1" ht="24" customHeight="1">
      <x:c r="A1" s="2"/>
      <x:c r="B1" s="2"/>
    </x:row>
    <x:row r="2" ht="24" customHeight="1">
      <x:c r="A2" s="3" t="str">
        <x:v>Reproduction settings</x:v>
      </x:c>
      <x:c r="B2" s="2"/>
    </x:row>
    <x:row r="3" ht="24" customHeight="1">
      <x:c r="A3" s="4"/>
      <x:c r="B3" s="4"/>
      <x:c r="C3" s="23"/>
      <x:c r="D3" s="23"/>
    </x:row>
    <x:row r="4" ht="24" customHeight="1">
      <x:c r="A4" s="2"/>
      <x:c r="B4" s="2"/>
    </x:row>
    <x:row r="5" ht="24" customHeight="1">
      <x:c r="A5" s="2"/>
      <x:c r="B5" s="2"/>
    </x:row>
    <x:row r="6" ht="32" customHeight="1">
      <x:c r="A6" s="9" t="str">
        <x:v>Setting</x:v>
      </x:c>
      <x:c r="B6" s="9" t="str">
        <x:v>Recorded value</x:v>
      </x:c>
    </x:row>
    <x:row r="7" ht="34" customHeight="1">
      <x:c r="A7" s="10" t="str">
        <x:v>Run timestamp (UTC)</x:v>
      </x:c>
      <x:c r="B7" s="24" t="d">
        <x:v>2026-10-28T01:40:19.939Z</x:v>
      </x:c>
    </x:row>
    <x:row r="8" ht="34" customHeight="1">
      <x:c r="A8" s="2" t="str">
        <x:v>Mode</x:v>
      </x:c>
      <x:c r="B8" s="18" t="str">
        <x:v>baseline</x:v>
      </x:c>
    </x:row>
    <x:row r="9" ht="34" customHeight="1">
      <x:c r="A9" s="10" t="str">
        <x:v>Mock inference</x:v>
      </x:c>
      <x:c r="B9" s="17" t="str">
        <x:v>false</x:v>
      </x:c>
    </x:row>
    <x:row r="10" ht="34" customHeight="1">
      <x:c r="A10" s="2" t="str">
        <x:v>Graph version</x:v>
      </x:c>
      <x:c r="B10" s="18" t="str">
        <x:v>generic-voltage-1.0</x:v>
      </x:c>
    </x:row>
    <x:row r="11" ht="34" customHeight="1">
      <x:c r="A11" s="10" t="str">
        <x:v>Graph/source SHA256</x:v>
      </x:c>
      <x:c r="B11" s="17" t="str">
        <x:v>d3c5db217a3e6933aa7372077f992ea912c4152a254e62cc6b0aca45b030cb66</x:v>
      </x:c>
    </x:row>
    <x:row r="12" ht="34" customHeight="1">
      <x:c r="A12" s="2" t="str">
        <x:v>Case SHA256</x:v>
      </x:c>
      <x:c r="B12" s="18" t="str">
        <x:v>fdad3f05b54bc5e27fd195141a7b370906fa05c48abddef2f28b578b748376e6</x:v>
      </x:c>
    </x:row>
    <x:row r="13" ht="34" customHeight="1">
      <x:c r="A13" s="10" t="str">
        <x:v>Code SHA256</x:v>
      </x:c>
      <x:c r="B13" s="17" t="str">
        <x:v>2fa4ed46e01c10f96baa8da24ec428f7872bf79a12abbf40f88566620e39f4aa</x:v>
      </x:c>
    </x:row>
    <x:row r="14" ht="34" customHeight="1">
      <x:c r="A14" s="2" t="str">
        <x:v>Python</x:v>
      </x:c>
      <x:c r="B14" s="18" t="str">
        <x:v>3.12.10</x:v>
      </x:c>
    </x:row>
    <x:row r="15" ht="54" customHeight="1">
      <x:c r="A15" s="10" t="str">
        <x:v>Dependencies</x:v>
      </x:c>
      <x:c r="B15" s="17" t="str">
        <x:v>{"streamlit":"1.66.1","networkx":"3.7","pydantic":"2.14.1","httpx":"0.28.1","pytest":"9.2.0"}</x:v>
      </x:c>
    </x:row>
    <x:row r="16" ht="34" customHeight="1">
      <x:c r="A16" s="2" t="str">
        <x:v>Candidate cap</x:v>
      </x:c>
      <x:c r="B16" s="18" t="n">
        <x:v>3</x:v>
      </x:c>
    </x:row>
    <x:row r="17" ht="34" customHeight="1">
      <x:c r="A17" s="10" t="str">
        <x:v>LLM status</x:v>
      </x:c>
      <x:c r="B17" s="17" t="str">
        <x:v>not_run</x:v>
      </x:c>
    </x:row>
    <x:row r="18" ht="34" customHeight="1">
      <x:c r="A18" s="2" t="str">
        <x:v>LLM model configured</x:v>
      </x:c>
      <x:c r="B18" s="18" t="str">
        <x:v>None</x:v>
      </x:c>
    </x:row>
    <x:row r="19" ht="34" customHeight="1">
      <x:c r="A19" s="10" t="str">
        <x:v>LLM endpoint</x:v>
      </x:c>
      <x:c r="B19" s="17" t="str">
        <x:v>http://127.0.0.1:11434</x:v>
      </x:c>
    </x:row>
    <x:row r="20" ht="34" customHeight="1">
      <x:c r="A20" s="2" t="str">
        <x:v>LLM reason</x:v>
      </x:c>
      <x:c r="B20" s="18" t="str">
        <x:v>Local model request failed (ConnectError)</x:v>
      </x:c>
    </x:row>
    <x:row r="21" ht="34" customHeight="1">
      <x:c r="A21" s="10" t="str">
        <x:v>Scope inclusion threshold</x:v>
      </x:c>
      <x:c r="B21" s="25" t="n">
        <x:v>0.8</x:v>
      </x:c>
    </x:row>
    <x:row r="22" ht="34" customHeight="1">
      <x:c r="A22" s="2" t="str">
        <x:v>Time estimate reduction target</x:v>
      </x:c>
      <x:c r="B22" s="26" t="n">
        <x:v>0.25</x:v>
      </x:c>
    </x:row>
    <x:row r="23" ht="34" customHeight="1">
      <x:c r="A23" s="10" t="str">
        <x:v>Prompt/settings record</x:v>
      </x:c>
      <x:c r="B23" s="17" t="str">
        <x:v>Full prompts and per-turn configuration are in results.json; source prompts are in ecfkg/agent.py.</x:v>
      </x:c>
    </x:row>
    <x:row r="24" ht="34" customHeight="1">
      <x:c r="A24" s="2" t="str">
        <x:v>Test result</x:v>
      </x:c>
      <x:c r="B24" s="18" t="str">
        <x:v>45 tests; 0 failures/errors; 0 skipped. See outputs/verification/pytest.xml.</x:v>
      </x:c>
    </x:row>
    <x:row r="25" ht="34" customHeight="1">
      <x:c r="A25" s="10" t="str">
        <x:v>Evidence review</x:v>
      </x:c>
      <x:c r="B25" s="17" t="str">
        <x:v>Synthetic data unreviewed by equipment engineers. Public sources remain quarantined.</x:v>
      </x:c>
    </x:row>
    <x:row r="26" ht="34" customHeight="1">
      <x:c r="A26" s="2" t="str">
        <x:v>Independent validation</x:v>
      </x:c>
      <x:c r="B26" s="18" t="str">
        <x:v>Not performed. Cases created during development.</x:v>
      </x:c>
    </x:row>
    <x:row r="27" ht="34" customHeight="1">
      <x:c r="A27" s="10" t="str">
        <x:v>Source</x:v>
      </x:c>
      <x:c r="B27" s="17" t="str">
        <x:v>Committed synthetic evaluation JSON exports; no user session exports.</x:v>
      </x:c>
    </x:row>
    <x:row r="28" ht="24" customHeight="1">
      <x:c r="A28" s="2"/>
      <x:c r="B28" s="2"/>
    </x:row>
    <x:row r="29" ht="24" customHeight="1">
      <x:c r="A29" s="2"/>
      <x:c r="B29" s="2"/>
    </x:row>
    <x:row r="30" ht="24" customHeight="1">
      <x:c r="A30" s="2"/>
      <x:c r="B30" s="2"/>
    </x:row>
  </x:sheetData>
  <x:pageMargins left="0.7" right="0.7" top="0.75" bottom="0.75" header="0.3" footer="0.3"/>
  <x:tableParts count="1">
    <x:tablePart xmlns:r="http://schemas.openxmlformats.org/officeDocument/2006/relationships" r:id="R588f85a8a03d4cd2"/>
  </x:tableParts>
</x:worksheet>
</file>